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4457786cd12dc75f/CIVE202 - SP26/Project ^N3/"/>
    </mc:Choice>
  </mc:AlternateContent>
  <xr:revisionPtr revIDLastSave="3" documentId="8_{12AAC61D-9443-465B-9469-2ECCE98B56A3}" xr6:coauthVersionLast="47" xr6:coauthVersionMax="47" xr10:uidLastSave="{90860EF8-18D7-47EC-8656-B7D26AFE3A8A}"/>
  <bookViews>
    <workbookView xWindow="14295" yWindow="0" windowWidth="14610" windowHeight="17385" xr2:uid="{00000000-000D-0000-FFFF-FFFF00000000}"/>
  </bookViews>
  <sheets>
    <sheet name="ProjectSchedule" sheetId="11" r:id="rId1"/>
    <sheet name="About" sheetId="12" r:id="rId2"/>
  </sheets>
  <definedNames>
    <definedName name="_xlnm.Print_Area" localSheetId="0">ProjectSchedule!$1:$25</definedName>
    <definedName name="_xlnm.Print_Titles" localSheetId="0">ProjectSchedule!$4:$6</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 i="12" l="1"/>
  <c r="J1" i="11"/>
  <c r="H25" i="11" l="1"/>
  <c r="H24" i="11"/>
  <c r="H23" i="11"/>
  <c r="H22" i="11"/>
  <c r="H21" i="11"/>
  <c r="H20" i="11"/>
  <c r="H19" i="11"/>
  <c r="H18" i="11"/>
  <c r="H17" i="11"/>
  <c r="H16" i="11"/>
  <c r="H15" i="11"/>
  <c r="H14" i="11"/>
  <c r="H13" i="11"/>
  <c r="H12" i="11"/>
  <c r="H11" i="11"/>
  <c r="H10" i="11"/>
  <c r="H9" i="11"/>
  <c r="H8" i="11"/>
  <c r="H7" i="11"/>
  <c r="I5" i="11" l="1"/>
  <c r="I6" i="11" l="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6"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<sst xmlns="http://schemas.openxmlformats.org/spreadsheetml/2006/main" count="54" uniqueCount="42">
  <si>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</si>
  <si>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</si>
  <si>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</si>
  <si>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</si>
  <si>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</si>
  <si>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</si>
  <si>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</si>
  <si>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</si>
  <si>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</si>
  <si>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</si>
  <si>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</si>
  <si>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</si>
  <si>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</si>
  <si>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</si>
  <si>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</si>
  <si>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</si>
  <si>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</si>
  <si>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</si>
  <si>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</si>
  <si>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</si>
  <si>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</si>
  <si>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</si>
  <si>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Today:</t>
  </si>
  <si>
    <t>© 2018-2019 Vertex42 LLC</t>
  </si>
  <si>
    <t>Arturo Garcia</t>
  </si>
  <si>
    <t>CIVE202</t>
  </si>
  <si>
    <t>Project #3: Visualizing Data</t>
  </si>
  <si>
    <t>Setup GitHub Repository</t>
  </si>
  <si>
    <t>Draft Scope of Work</t>
  </si>
  <si>
    <t>Phase 1: Project Initiation</t>
  </si>
  <si>
    <t>Phase 2: Data Analysis &amp; Coding</t>
  </si>
  <si>
    <t>Data Exploration and Cleaning</t>
  </si>
  <si>
    <t>A. Garcia</t>
  </si>
  <si>
    <t>Python Visualizations</t>
  </si>
  <si>
    <t>IDM Simulation Study</t>
  </si>
  <si>
    <t>Phase 3: Documentation</t>
  </si>
  <si>
    <t>Annotated Code Document</t>
  </si>
  <si>
    <t>Finalize GitHub README</t>
  </si>
  <si>
    <t>Engineering Timesheet</t>
  </si>
  <si>
    <t>Phase 4: Reporting and Submission</t>
  </si>
  <si>
    <t>Write Technical Report</t>
  </si>
  <si>
    <t>Final  Review and Submission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</si>
</sst>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97">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2" fillId="7" borderId="0" xfId="0" applyNumberFormat="1" applyFont="1" applyFill="1" applyAlignment="1">
      <alignment horizontal="center" vertical="center"/>
    </xf>
    <xf numFmtId="167" fontId="12" fillId="7" borderId="8" xfId="0" applyNumberFormat="1" applyFont="1" applyFill="1" applyBorder="1" applyAlignment="1">
      <alignment horizontal="center" vertical="center"/>
    </xf>
    <xf numFmtId="167" fontId="12" fillId="7" borderId="9" xfId="0" applyNumberFormat="1" applyFont="1" applyFill="1" applyBorder="1" applyAlignment="1">
      <alignment horizontal="center" vertical="center"/>
    </xf>
    <xf numFmtId="0" fontId="15" fillId="12"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0" fontId="6" fillId="8" borderId="2" xfId="0" applyFont="1" applyFill="1" applyBorder="1" applyAlignment="1">
      <alignment horizontal="center" vertical="center"/>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5" fillId="11"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0" borderId="2" xfId="0" applyFill="1" applyBorder="1" applyAlignment="1">
      <alignment horizontal="left" vertical="center" indent="2"/>
    </xf>
    <xf numFmtId="0" fontId="0" fillId="10" borderId="2" xfId="0"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6" fontId="0" fillId="7" borderId="6"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7" xfId="0" applyNumberFormat="1" applyFill="1" applyBorder="1" applyAlignment="1">
      <alignment horizontal="left" vertical="center" wrapText="1" indent="1"/>
    </xf>
    <xf numFmtId="0" fontId="29" fillId="0" borderId="0" xfId="1" applyFont="1" applyAlignment="1" applyProtection="1">
      <alignment horizontal="left" vertical="center"/>
    </xf>
  </cellXfs>
  <cellStyles count="3">
    <cellStyle name="Hyperlink" xfId="1" builtinId="8" customBuiltin="1"/>
    <cellStyle name="Normal" xfId="0" builtinId="0"/>
    <cellStyle name="Percent"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29"/>
  <sheetViews>
    <sheetView showGridLines="0" tabSelected="1" showRuler="0" zoomScale="87" zoomScaleNormal="100" zoomScalePageLayoutView="70" workbookViewId="0">
      <pane ySplit="6" topLeftCell="A8" activePane="bottomLeft" state="frozen"/>
      <selection pane="bottomLeft" activeCell="D19" sqref="D19"/>
    </sheetView>
  </sheetViews>
  <sheetFormatPr defaultRowHeight="15" x14ac:dyDescent="0.25"/>
  <cols>
    <col min="1" max="1" width="2.7109375" customWidth="1"/>
    <col min="2" max="2" width="53.7109375" bestFit="1" customWidth="1"/>
    <col min="3" max="3" width="11.140625" bestFit="1" customWidth="1"/>
    <col min="4" max="4" width="14" bestFit="1" customWidth="1"/>
    <col min="5" max="5" width="8.5703125" style="5" bestFit="1" customWidth="1"/>
    <col min="6" max="6" width="10.85546875" bestFit="1" customWidth="1"/>
    <col min="7" max="7" width="2.7109375" customWidth="1"/>
    <col min="8" max="8" width="6.140625" hidden="1" customWidth="1"/>
    <col min="9" max="64" width="2.5703125" customWidth="1"/>
    <col min="69" max="70" width="10.28515625"/>
  </cols>
  <sheetData>
    <row r="1" spans="1:64" ht="28.5" x14ac:dyDescent="0.45">
      <c r="B1" s="16" t="s">
        <v>26</v>
      </c>
      <c r="C1" s="1"/>
      <c r="D1" s="2"/>
      <c r="E1" s="4"/>
      <c r="F1" s="86"/>
      <c r="H1" s="2"/>
      <c r="I1" s="8"/>
      <c r="J1" s="96" t="str">
        <f>HYPERLINK("https://vertex42.link/HowToMakeAGanttChart","► Watch How to Make a Gantt Chart in Excel")</f>
        <v>► Watch How to Make a Gantt Chart in Excel</v>
      </c>
      <c r="K1" s="96"/>
      <c r="L1" s="96"/>
      <c r="M1" s="96"/>
      <c r="N1" s="96"/>
      <c r="O1" s="96"/>
      <c r="P1" s="96"/>
      <c r="Q1" s="96"/>
      <c r="R1" s="96"/>
      <c r="S1" s="96"/>
      <c r="T1" s="96"/>
      <c r="U1" s="96"/>
      <c r="V1" s="96"/>
      <c r="W1" s="96"/>
      <c r="X1" s="96"/>
      <c r="Y1" s="96"/>
      <c r="Z1" s="96"/>
      <c r="AA1" s="96"/>
    </row>
    <row r="2" spans="1:64" ht="19.5" customHeight="1" x14ac:dyDescent="0.3">
      <c r="B2" s="9" t="s">
        <v>25</v>
      </c>
      <c r="D2" s="6" t="s">
        <v>1</v>
      </c>
      <c r="E2" s="91">
        <v>46081</v>
      </c>
      <c r="F2" s="92"/>
    </row>
    <row r="3" spans="1:64" ht="19.5" customHeight="1" x14ac:dyDescent="0.3">
      <c r="B3" s="9" t="s">
        <v>24</v>
      </c>
      <c r="D3" s="6" t="s">
        <v>22</v>
      </c>
      <c r="E3" s="91">
        <v>46081</v>
      </c>
      <c r="F3" s="92"/>
    </row>
    <row r="4" spans="1:64" ht="19.5" customHeight="1" x14ac:dyDescent="0.25">
      <c r="D4" s="6" t="s">
        <v>8</v>
      </c>
      <c r="E4" s="7">
        <v>1</v>
      </c>
      <c r="I4" s="93">
        <f>I5</f>
        <v>46076</v>
      </c>
      <c r="J4" s="94"/>
      <c r="K4" s="94"/>
      <c r="L4" s="94"/>
      <c r="M4" s="94"/>
      <c r="N4" s="94"/>
      <c r="O4" s="95"/>
      <c r="P4" s="93">
        <f>P5</f>
        <v>46083</v>
      </c>
      <c r="Q4" s="94"/>
      <c r="R4" s="94"/>
      <c r="S4" s="94"/>
      <c r="T4" s="94"/>
      <c r="U4" s="94"/>
      <c r="V4" s="95"/>
      <c r="W4" s="93">
        <f>W5</f>
        <v>46090</v>
      </c>
      <c r="X4" s="94"/>
      <c r="Y4" s="94"/>
      <c r="Z4" s="94"/>
      <c r="AA4" s="94"/>
      <c r="AB4" s="94"/>
      <c r="AC4" s="95"/>
      <c r="AD4" s="93">
        <f>AD5</f>
        <v>46097</v>
      </c>
      <c r="AE4" s="94"/>
      <c r="AF4" s="94"/>
      <c r="AG4" s="94"/>
      <c r="AH4" s="94"/>
      <c r="AI4" s="94"/>
      <c r="AJ4" s="95"/>
      <c r="AK4" s="93">
        <f>AK5</f>
        <v>46104</v>
      </c>
      <c r="AL4" s="94"/>
      <c r="AM4" s="94"/>
      <c r="AN4" s="94"/>
      <c r="AO4" s="94"/>
      <c r="AP4" s="94"/>
      <c r="AQ4" s="95"/>
      <c r="AR4" s="93">
        <f>AR5</f>
        <v>46111</v>
      </c>
      <c r="AS4" s="94"/>
      <c r="AT4" s="94"/>
      <c r="AU4" s="94"/>
      <c r="AV4" s="94"/>
      <c r="AW4" s="94"/>
      <c r="AX4" s="95"/>
      <c r="AY4" s="93">
        <f>AY5</f>
        <v>46118</v>
      </c>
      <c r="AZ4" s="94"/>
      <c r="BA4" s="94"/>
      <c r="BB4" s="94"/>
      <c r="BC4" s="94"/>
      <c r="BD4" s="94"/>
      <c r="BE4" s="95"/>
      <c r="BF4" s="93">
        <f>BF5</f>
        <v>46125</v>
      </c>
      <c r="BG4" s="94"/>
      <c r="BH4" s="94"/>
      <c r="BI4" s="94"/>
      <c r="BJ4" s="94"/>
      <c r="BK4" s="94"/>
      <c r="BL4" s="95"/>
    </row>
    <row r="5" spans="1:64" x14ac:dyDescent="0.25">
      <c r="A5" s="6"/>
      <c r="G5" s="6"/>
      <c r="I5" s="13">
        <f>E2-WEEKDAY(E2,1)+2+7*(E4-1)</f>
        <v>46076</v>
      </c>
      <c r="J5" s="12">
        <f>I5+1</f>
        <v>46077</v>
      </c>
      <c r="K5" s="12">
        <f t="shared" ref="K5:AX5" si="0">J5+1</f>
        <v>46078</v>
      </c>
      <c r="L5" s="12">
        <f t="shared" si="0"/>
        <v>46079</v>
      </c>
      <c r="M5" s="12">
        <f t="shared" si="0"/>
        <v>46080</v>
      </c>
      <c r="N5" s="12">
        <f t="shared" si="0"/>
        <v>46081</v>
      </c>
      <c r="O5" s="14">
        <f t="shared" si="0"/>
        <v>46082</v>
      </c>
      <c r="P5" s="13">
        <f>O5+1</f>
        <v>46083</v>
      </c>
      <c r="Q5" s="12">
        <f>P5+1</f>
        <v>46084</v>
      </c>
      <c r="R5" s="12">
        <f t="shared" si="0"/>
        <v>46085</v>
      </c>
      <c r="S5" s="12">
        <f t="shared" si="0"/>
        <v>46086</v>
      </c>
      <c r="T5" s="12">
        <f t="shared" si="0"/>
        <v>46087</v>
      </c>
      <c r="U5" s="12">
        <f t="shared" si="0"/>
        <v>46088</v>
      </c>
      <c r="V5" s="14">
        <f t="shared" si="0"/>
        <v>46089</v>
      </c>
      <c r="W5" s="13">
        <f>V5+1</f>
        <v>46090</v>
      </c>
      <c r="X5" s="12">
        <f>W5+1</f>
        <v>46091</v>
      </c>
      <c r="Y5" s="12">
        <f t="shared" si="0"/>
        <v>46092</v>
      </c>
      <c r="Z5" s="12">
        <f t="shared" si="0"/>
        <v>46093</v>
      </c>
      <c r="AA5" s="12">
        <f t="shared" si="0"/>
        <v>46094</v>
      </c>
      <c r="AB5" s="12">
        <f t="shared" si="0"/>
        <v>46095</v>
      </c>
      <c r="AC5" s="14">
        <f t="shared" si="0"/>
        <v>46096</v>
      </c>
      <c r="AD5" s="13">
        <f>AC5+1</f>
        <v>46097</v>
      </c>
      <c r="AE5" s="12">
        <f>AD5+1</f>
        <v>46098</v>
      </c>
      <c r="AF5" s="12">
        <f t="shared" si="0"/>
        <v>46099</v>
      </c>
      <c r="AG5" s="12">
        <f t="shared" si="0"/>
        <v>46100</v>
      </c>
      <c r="AH5" s="12">
        <f t="shared" si="0"/>
        <v>46101</v>
      </c>
      <c r="AI5" s="12">
        <f t="shared" si="0"/>
        <v>46102</v>
      </c>
      <c r="AJ5" s="14">
        <f t="shared" si="0"/>
        <v>46103</v>
      </c>
      <c r="AK5" s="13">
        <f>AJ5+1</f>
        <v>46104</v>
      </c>
      <c r="AL5" s="12">
        <f>AK5+1</f>
        <v>46105</v>
      </c>
      <c r="AM5" s="12">
        <f t="shared" si="0"/>
        <v>46106</v>
      </c>
      <c r="AN5" s="12">
        <f t="shared" si="0"/>
        <v>46107</v>
      </c>
      <c r="AO5" s="12">
        <f t="shared" si="0"/>
        <v>46108</v>
      </c>
      <c r="AP5" s="12">
        <f t="shared" si="0"/>
        <v>46109</v>
      </c>
      <c r="AQ5" s="14">
        <f t="shared" si="0"/>
        <v>46110</v>
      </c>
      <c r="AR5" s="13">
        <f>AQ5+1</f>
        <v>46111</v>
      </c>
      <c r="AS5" s="12">
        <f>AR5+1</f>
        <v>46112</v>
      </c>
      <c r="AT5" s="12">
        <f t="shared" si="0"/>
        <v>46113</v>
      </c>
      <c r="AU5" s="12">
        <f t="shared" si="0"/>
        <v>46114</v>
      </c>
      <c r="AV5" s="12">
        <f t="shared" si="0"/>
        <v>46115</v>
      </c>
      <c r="AW5" s="12">
        <f t="shared" si="0"/>
        <v>46116</v>
      </c>
      <c r="AX5" s="14">
        <f t="shared" si="0"/>
        <v>46117</v>
      </c>
      <c r="AY5" s="13">
        <f>AX5+1</f>
        <v>46118</v>
      </c>
      <c r="AZ5" s="12">
        <f>AY5+1</f>
        <v>46119</v>
      </c>
      <c r="BA5" s="12">
        <f t="shared" ref="BA5:BE5" si="1">AZ5+1</f>
        <v>46120</v>
      </c>
      <c r="BB5" s="12">
        <f t="shared" si="1"/>
        <v>46121</v>
      </c>
      <c r="BC5" s="12">
        <f t="shared" si="1"/>
        <v>46122</v>
      </c>
      <c r="BD5" s="12">
        <f t="shared" si="1"/>
        <v>46123</v>
      </c>
      <c r="BE5" s="14">
        <f t="shared" si="1"/>
        <v>46124</v>
      </c>
      <c r="BF5" s="13">
        <f>BE5+1</f>
        <v>46125</v>
      </c>
      <c r="BG5" s="12">
        <f>BF5+1</f>
        <v>46126</v>
      </c>
      <c r="BH5" s="12">
        <f t="shared" ref="BH5:BL5" si="2">BG5+1</f>
        <v>46127</v>
      </c>
      <c r="BI5" s="12">
        <f t="shared" si="2"/>
        <v>46128</v>
      </c>
      <c r="BJ5" s="12">
        <f t="shared" si="2"/>
        <v>46129</v>
      </c>
      <c r="BK5" s="12">
        <f t="shared" si="2"/>
        <v>46130</v>
      </c>
      <c r="BL5" s="14">
        <f t="shared" si="2"/>
        <v>46131</v>
      </c>
    </row>
    <row r="6" spans="1:64" ht="29.25" customHeight="1" thickBot="1" x14ac:dyDescent="0.3">
      <c r="A6" s="19"/>
      <c r="B6" s="10" t="s">
        <v>9</v>
      </c>
      <c r="C6" s="11" t="s">
        <v>3</v>
      </c>
      <c r="D6" s="11" t="s">
        <v>2</v>
      </c>
      <c r="E6" s="11" t="s">
        <v>5</v>
      </c>
      <c r="F6" s="11" t="s">
        <v>6</v>
      </c>
      <c r="G6" s="11"/>
      <c r="H6" s="11" t="s">
        <v>7</v>
      </c>
      <c r="I6" s="15" t="str">
        <f t="shared" ref="I6" si="3">LEFT(TEXT(I5,"ddd"),1)</f>
        <v>M</v>
      </c>
      <c r="J6" s="15" t="str">
        <f t="shared" ref="J6:AR6" si="4">LEFT(TEXT(J5,"ddd"),1)</f>
        <v>T</v>
      </c>
      <c r="K6" s="15" t="str">
        <f t="shared" si="4"/>
        <v>W</v>
      </c>
      <c r="L6" s="15" t="str">
        <f t="shared" si="4"/>
        <v>T</v>
      </c>
      <c r="M6" s="15" t="str">
        <f t="shared" si="4"/>
        <v>F</v>
      </c>
      <c r="N6" s="15" t="str">
        <f t="shared" si="4"/>
        <v>S</v>
      </c>
      <c r="O6" s="15" t="str">
        <f t="shared" si="4"/>
        <v>S</v>
      </c>
      <c r="P6" s="15" t="str">
        <f t="shared" si="4"/>
        <v>M</v>
      </c>
      <c r="Q6" s="15" t="str">
        <f t="shared" si="4"/>
        <v>T</v>
      </c>
      <c r="R6" s="15" t="str">
        <f t="shared" si="4"/>
        <v>W</v>
      </c>
      <c r="S6" s="15" t="str">
        <f t="shared" si="4"/>
        <v>T</v>
      </c>
      <c r="T6" s="15" t="str">
        <f t="shared" si="4"/>
        <v>F</v>
      </c>
      <c r="U6" s="15" t="str">
        <f t="shared" si="4"/>
        <v>S</v>
      </c>
      <c r="V6" s="15" t="str">
        <f t="shared" si="4"/>
        <v>S</v>
      </c>
      <c r="W6" s="15" t="str">
        <f t="shared" si="4"/>
        <v>M</v>
      </c>
      <c r="X6" s="15" t="str">
        <f t="shared" si="4"/>
        <v>T</v>
      </c>
      <c r="Y6" s="15" t="str">
        <f t="shared" si="4"/>
        <v>W</v>
      </c>
      <c r="Z6" s="15" t="str">
        <f t="shared" si="4"/>
        <v>T</v>
      </c>
      <c r="AA6" s="15" t="str">
        <f t="shared" si="4"/>
        <v>F</v>
      </c>
      <c r="AB6" s="15" t="str">
        <f t="shared" si="4"/>
        <v>S</v>
      </c>
      <c r="AC6" s="15" t="str">
        <f t="shared" si="4"/>
        <v>S</v>
      </c>
      <c r="AD6" s="15" t="str">
        <f t="shared" si="4"/>
        <v>M</v>
      </c>
      <c r="AE6" s="15" t="str">
        <f t="shared" si="4"/>
        <v>T</v>
      </c>
      <c r="AF6" s="15" t="str">
        <f t="shared" si="4"/>
        <v>W</v>
      </c>
      <c r="AG6" s="15" t="str">
        <f t="shared" si="4"/>
        <v>T</v>
      </c>
      <c r="AH6" s="15" t="str">
        <f t="shared" si="4"/>
        <v>F</v>
      </c>
      <c r="AI6" s="15" t="str">
        <f t="shared" si="4"/>
        <v>S</v>
      </c>
      <c r="AJ6" s="15" t="str">
        <f t="shared" si="4"/>
        <v>S</v>
      </c>
      <c r="AK6" s="15" t="str">
        <f t="shared" si="4"/>
        <v>M</v>
      </c>
      <c r="AL6" s="15" t="str">
        <f t="shared" si="4"/>
        <v>T</v>
      </c>
      <c r="AM6" s="15" t="str">
        <f t="shared" si="4"/>
        <v>W</v>
      </c>
      <c r="AN6" s="15" t="str">
        <f t="shared" si="4"/>
        <v>T</v>
      </c>
      <c r="AO6" s="15" t="str">
        <f t="shared" si="4"/>
        <v>F</v>
      </c>
      <c r="AP6" s="15" t="str">
        <f t="shared" si="4"/>
        <v>S</v>
      </c>
      <c r="AQ6" s="15" t="str">
        <f t="shared" si="4"/>
        <v>S</v>
      </c>
      <c r="AR6" s="15" t="str">
        <f t="shared" si="4"/>
        <v>M</v>
      </c>
      <c r="AS6" s="15" t="str">
        <f t="shared" ref="AS6:BL6" si="5">LEFT(TEXT(AS5,"ddd"),1)</f>
        <v>T</v>
      </c>
      <c r="AT6" s="15" t="str">
        <f t="shared" si="5"/>
        <v>W</v>
      </c>
      <c r="AU6" s="15" t="str">
        <f t="shared" si="5"/>
        <v>T</v>
      </c>
      <c r="AV6" s="15" t="str">
        <f t="shared" si="5"/>
        <v>F</v>
      </c>
      <c r="AW6" s="15" t="str">
        <f t="shared" si="5"/>
        <v>S</v>
      </c>
      <c r="AX6" s="15" t="str">
        <f t="shared" si="5"/>
        <v>S</v>
      </c>
      <c r="AY6" s="15" t="str">
        <f t="shared" si="5"/>
        <v>M</v>
      </c>
      <c r="AZ6" s="15" t="str">
        <f t="shared" si="5"/>
        <v>T</v>
      </c>
      <c r="BA6" s="15" t="str">
        <f t="shared" si="5"/>
        <v>W</v>
      </c>
      <c r="BB6" s="15" t="str">
        <f t="shared" si="5"/>
        <v>T</v>
      </c>
      <c r="BC6" s="15" t="str">
        <f t="shared" si="5"/>
        <v>F</v>
      </c>
      <c r="BD6" s="15" t="str">
        <f t="shared" si="5"/>
        <v>S</v>
      </c>
      <c r="BE6" s="15" t="str">
        <f t="shared" si="5"/>
        <v>S</v>
      </c>
      <c r="BF6" s="15" t="str">
        <f t="shared" si="5"/>
        <v>M</v>
      </c>
      <c r="BG6" s="15" t="str">
        <f t="shared" si="5"/>
        <v>T</v>
      </c>
      <c r="BH6" s="15" t="str">
        <f t="shared" si="5"/>
        <v>W</v>
      </c>
      <c r="BI6" s="15" t="str">
        <f t="shared" si="5"/>
        <v>T</v>
      </c>
      <c r="BJ6" s="15" t="str">
        <f t="shared" si="5"/>
        <v>F</v>
      </c>
      <c r="BK6" s="15" t="str">
        <f t="shared" si="5"/>
        <v>S</v>
      </c>
      <c r="BL6" s="15" t="str">
        <f t="shared" si="5"/>
        <v>S</v>
      </c>
    </row>
    <row r="7" spans="1:64" s="3" customFormat="1" ht="21.75" thickBot="1" x14ac:dyDescent="0.3">
      <c r="A7" s="19"/>
      <c r="B7" s="20"/>
      <c r="C7" s="21"/>
      <c r="D7" s="22"/>
      <c r="E7" s="23"/>
      <c r="F7" s="24"/>
      <c r="G7" s="25"/>
      <c r="H7" s="25" t="str">
        <f t="shared" ref="H7:H25" si="6">IF(OR(ISBLANK(task_start),ISBLANK(task_end)),"",task_end-task_start+1)</f>
        <v/>
      </c>
      <c r="I7" s="72"/>
      <c r="J7" s="72"/>
      <c r="K7" s="72"/>
      <c r="L7" s="72"/>
      <c r="M7" s="72"/>
      <c r="N7" s="72"/>
      <c r="O7" s="72"/>
      <c r="P7" s="72"/>
      <c r="Q7" s="72"/>
      <c r="R7" s="72"/>
      <c r="S7" s="72"/>
      <c r="T7" s="72"/>
      <c r="U7" s="72"/>
      <c r="V7" s="72"/>
      <c r="W7" s="72"/>
      <c r="X7" s="72"/>
      <c r="Y7" s="72"/>
      <c r="Z7" s="72"/>
      <c r="AA7" s="72"/>
      <c r="AB7" s="72"/>
      <c r="AC7" s="72"/>
      <c r="AD7" s="72"/>
      <c r="AE7" s="72"/>
      <c r="AF7" s="72"/>
      <c r="AG7" s="72"/>
      <c r="AH7" s="72"/>
      <c r="AI7" s="72"/>
      <c r="AJ7" s="72"/>
      <c r="AK7" s="72"/>
      <c r="AL7" s="72"/>
      <c r="AM7" s="72"/>
      <c r="AN7" s="72"/>
      <c r="AO7" s="72"/>
      <c r="AP7" s="72"/>
      <c r="AQ7" s="72"/>
      <c r="AR7" s="72"/>
      <c r="AS7" s="72"/>
      <c r="AT7" s="72"/>
      <c r="AU7" s="72"/>
      <c r="AV7" s="72"/>
      <c r="AW7" s="72"/>
      <c r="AX7" s="72"/>
      <c r="AY7" s="72"/>
      <c r="AZ7" s="72"/>
      <c r="BA7" s="72"/>
      <c r="BB7" s="72"/>
      <c r="BC7" s="72"/>
      <c r="BD7" s="72"/>
      <c r="BE7" s="72"/>
      <c r="BF7" s="72"/>
      <c r="BG7" s="72"/>
      <c r="BH7" s="72"/>
      <c r="BI7" s="72"/>
      <c r="BJ7" s="72"/>
      <c r="BK7" s="72"/>
      <c r="BL7" s="72"/>
    </row>
    <row r="8" spans="1:64" s="3" customFormat="1" ht="21.75" thickBot="1" x14ac:dyDescent="0.3">
      <c r="A8" s="19"/>
      <c r="B8" s="26" t="s">
        <v>29</v>
      </c>
      <c r="C8" s="27"/>
      <c r="D8" s="28"/>
      <c r="E8" s="29"/>
      <c r="F8" s="30"/>
      <c r="G8" s="25"/>
      <c r="H8" s="25" t="str">
        <f t="shared" si="6"/>
        <v/>
      </c>
      <c r="I8" s="72"/>
      <c r="J8" s="72"/>
      <c r="K8" s="72"/>
      <c r="L8" s="72"/>
      <c r="M8" s="72"/>
      <c r="N8" s="72"/>
      <c r="O8" s="72"/>
      <c r="P8" s="72"/>
      <c r="Q8" s="72"/>
      <c r="R8" s="72"/>
      <c r="S8" s="72"/>
      <c r="T8" s="72"/>
      <c r="U8" s="72"/>
      <c r="V8" s="72"/>
      <c r="W8" s="72"/>
      <c r="X8" s="72"/>
      <c r="Y8" s="72"/>
      <c r="Z8" s="72"/>
      <c r="AA8" s="72"/>
      <c r="AB8" s="72"/>
      <c r="AC8" s="72"/>
      <c r="AD8" s="72"/>
      <c r="AE8" s="72"/>
      <c r="AF8" s="72"/>
      <c r="AG8" s="72"/>
      <c r="AH8" s="72"/>
      <c r="AI8" s="72"/>
      <c r="AJ8" s="72"/>
      <c r="AK8" s="72"/>
      <c r="AL8" s="72"/>
      <c r="AM8" s="72"/>
      <c r="AN8" s="72"/>
      <c r="AO8" s="72"/>
      <c r="AP8" s="72"/>
      <c r="AQ8" s="72"/>
      <c r="AR8" s="72"/>
      <c r="AS8" s="72"/>
      <c r="AT8" s="72"/>
      <c r="AU8" s="72"/>
      <c r="AV8" s="72"/>
      <c r="AW8" s="72"/>
      <c r="AX8" s="72"/>
      <c r="AY8" s="72"/>
      <c r="AZ8" s="72"/>
      <c r="BA8" s="72"/>
      <c r="BB8" s="72"/>
      <c r="BC8" s="72"/>
      <c r="BD8" s="72"/>
      <c r="BE8" s="72"/>
      <c r="BF8" s="72"/>
      <c r="BG8" s="72"/>
      <c r="BH8" s="72"/>
      <c r="BI8" s="72"/>
      <c r="BJ8" s="72"/>
      <c r="BK8" s="72"/>
      <c r="BL8" s="72"/>
    </row>
    <row r="9" spans="1:64" s="3" customFormat="1" ht="21.75" thickBot="1" x14ac:dyDescent="0.3">
      <c r="A9" s="19"/>
      <c r="B9" s="31" t="s">
        <v>27</v>
      </c>
      <c r="C9" s="32" t="s">
        <v>32</v>
      </c>
      <c r="D9" s="33">
        <v>1</v>
      </c>
      <c r="E9" s="34">
        <v>46083</v>
      </c>
      <c r="F9" s="35">
        <v>46084</v>
      </c>
      <c r="G9" s="25"/>
      <c r="H9" s="25">
        <f t="shared" si="6"/>
        <v>2</v>
      </c>
      <c r="I9" s="72"/>
      <c r="J9" s="72"/>
      <c r="K9" s="72"/>
      <c r="L9" s="72"/>
      <c r="M9" s="72"/>
      <c r="N9" s="72"/>
      <c r="O9" s="72"/>
      <c r="P9" s="72"/>
      <c r="Q9" s="72"/>
      <c r="R9" s="72"/>
      <c r="S9" s="72"/>
      <c r="T9" s="72"/>
      <c r="U9" s="72"/>
      <c r="V9" s="72"/>
      <c r="W9" s="72"/>
      <c r="X9" s="72"/>
      <c r="Y9" s="72"/>
      <c r="Z9" s="72"/>
      <c r="AA9" s="72"/>
      <c r="AB9" s="72"/>
      <c r="AC9" s="72"/>
      <c r="AD9" s="72"/>
      <c r="AE9" s="72"/>
      <c r="AF9" s="72"/>
      <c r="AG9" s="72"/>
      <c r="AH9" s="72"/>
      <c r="AI9" s="72"/>
      <c r="AJ9" s="72"/>
      <c r="AK9" s="72"/>
      <c r="AL9" s="72"/>
      <c r="AM9" s="72"/>
      <c r="AN9" s="72"/>
      <c r="AO9" s="72"/>
      <c r="AP9" s="72"/>
      <c r="AQ9" s="72"/>
      <c r="AR9" s="72"/>
      <c r="AS9" s="72"/>
      <c r="AT9" s="72"/>
      <c r="AU9" s="72"/>
      <c r="AV9" s="72"/>
      <c r="AW9" s="72"/>
      <c r="AX9" s="72"/>
      <c r="AY9" s="72"/>
      <c r="AZ9" s="72"/>
      <c r="BA9" s="72"/>
      <c r="BB9" s="72"/>
      <c r="BC9" s="72"/>
      <c r="BD9" s="72"/>
      <c r="BE9" s="72"/>
      <c r="BF9" s="72"/>
      <c r="BG9" s="72"/>
      <c r="BH9" s="72"/>
      <c r="BI9" s="72"/>
      <c r="BJ9" s="72"/>
      <c r="BK9" s="72"/>
      <c r="BL9" s="72"/>
    </row>
    <row r="10" spans="1:64" s="3" customFormat="1" ht="21.75" thickBot="1" x14ac:dyDescent="0.3">
      <c r="A10" s="19"/>
      <c r="B10" s="31" t="s">
        <v>28</v>
      </c>
      <c r="C10" s="32" t="s">
        <v>32</v>
      </c>
      <c r="D10" s="33">
        <v>1</v>
      </c>
      <c r="E10" s="34">
        <v>46085</v>
      </c>
      <c r="F10" s="35">
        <v>46087</v>
      </c>
      <c r="G10" s="25"/>
      <c r="H10" s="25">
        <f t="shared" si="6"/>
        <v>3</v>
      </c>
      <c r="I10" s="72"/>
      <c r="J10" s="72"/>
      <c r="K10" s="72"/>
      <c r="L10" s="72"/>
      <c r="M10" s="72"/>
      <c r="N10" s="72"/>
      <c r="O10" s="72"/>
      <c r="P10" s="72"/>
      <c r="Q10" s="72"/>
      <c r="R10" s="72"/>
      <c r="S10" s="72"/>
      <c r="T10" s="72"/>
      <c r="U10" s="73"/>
      <c r="V10" s="73"/>
      <c r="W10" s="72"/>
      <c r="X10" s="72"/>
      <c r="Y10" s="72"/>
      <c r="Z10" s="72"/>
      <c r="AA10" s="72"/>
      <c r="AB10" s="72"/>
      <c r="AC10" s="72"/>
      <c r="AD10" s="72"/>
      <c r="AE10" s="72"/>
      <c r="AF10" s="72"/>
      <c r="AG10" s="72"/>
      <c r="AH10" s="72"/>
      <c r="AI10" s="72"/>
      <c r="AJ10" s="72"/>
      <c r="AK10" s="72"/>
      <c r="AL10" s="72"/>
      <c r="AM10" s="72"/>
      <c r="AN10" s="72"/>
      <c r="AO10" s="72"/>
      <c r="AP10" s="72"/>
      <c r="AQ10" s="72"/>
      <c r="AR10" s="72"/>
      <c r="AS10" s="72"/>
      <c r="AT10" s="72"/>
      <c r="AU10" s="72"/>
      <c r="AV10" s="72"/>
      <c r="AW10" s="72"/>
      <c r="AX10" s="72"/>
      <c r="AY10" s="72"/>
      <c r="AZ10" s="72"/>
      <c r="BA10" s="72"/>
      <c r="BB10" s="72"/>
      <c r="BC10" s="72"/>
      <c r="BD10" s="72"/>
      <c r="BE10" s="72"/>
      <c r="BF10" s="72"/>
      <c r="BG10" s="72"/>
      <c r="BH10" s="72"/>
      <c r="BI10" s="72"/>
      <c r="BJ10" s="72"/>
      <c r="BK10" s="72"/>
      <c r="BL10" s="72"/>
    </row>
    <row r="11" spans="1:64" s="3" customFormat="1" ht="21.75" thickBot="1" x14ac:dyDescent="0.3">
      <c r="A11" s="19"/>
      <c r="B11" s="36" t="s">
        <v>30</v>
      </c>
      <c r="C11" s="37"/>
      <c r="D11" s="38"/>
      <c r="E11" s="39"/>
      <c r="F11" s="40"/>
      <c r="G11" s="25"/>
      <c r="H11" s="25" t="str">
        <f t="shared" si="6"/>
        <v/>
      </c>
      <c r="I11" s="72"/>
      <c r="J11" s="72"/>
      <c r="K11" s="72"/>
      <c r="L11" s="72"/>
      <c r="M11" s="72"/>
      <c r="N11" s="72"/>
      <c r="O11" s="72"/>
      <c r="P11" s="72"/>
      <c r="Q11" s="72"/>
      <c r="R11" s="72"/>
      <c r="S11" s="72"/>
      <c r="T11" s="72"/>
      <c r="U11" s="72"/>
      <c r="V11" s="72"/>
      <c r="W11" s="72"/>
      <c r="X11" s="72"/>
      <c r="Y11" s="72"/>
      <c r="Z11" s="72"/>
      <c r="AA11" s="72"/>
      <c r="AB11" s="72"/>
      <c r="AC11" s="72"/>
      <c r="AD11" s="72"/>
      <c r="AE11" s="72"/>
      <c r="AF11" s="72"/>
      <c r="AG11" s="72"/>
      <c r="AH11" s="72"/>
      <c r="AI11" s="72"/>
      <c r="AJ11" s="72"/>
      <c r="AK11" s="72"/>
      <c r="AL11" s="72"/>
      <c r="AM11" s="72"/>
      <c r="AN11" s="72"/>
      <c r="AO11" s="72"/>
      <c r="AP11" s="72"/>
      <c r="AQ11" s="72"/>
      <c r="AR11" s="72"/>
      <c r="AS11" s="72"/>
      <c r="AT11" s="72"/>
      <c r="AU11" s="72"/>
      <c r="AV11" s="72"/>
      <c r="AW11" s="72"/>
      <c r="AX11" s="72"/>
      <c r="AY11" s="72"/>
      <c r="AZ11" s="72"/>
      <c r="BA11" s="72"/>
      <c r="BB11" s="72"/>
      <c r="BC11" s="72"/>
      <c r="BD11" s="72"/>
      <c r="BE11" s="72"/>
      <c r="BF11" s="72"/>
      <c r="BG11" s="72"/>
      <c r="BH11" s="72"/>
      <c r="BI11" s="72"/>
      <c r="BJ11" s="72"/>
      <c r="BK11" s="72"/>
      <c r="BL11" s="72"/>
    </row>
    <row r="12" spans="1:64" s="3" customFormat="1" ht="21.75" thickBot="1" x14ac:dyDescent="0.3">
      <c r="A12" s="19"/>
      <c r="B12" s="41" t="s">
        <v>31</v>
      </c>
      <c r="C12" s="42" t="s">
        <v>32</v>
      </c>
      <c r="D12" s="43">
        <v>1</v>
      </c>
      <c r="E12" s="44">
        <v>46088</v>
      </c>
      <c r="F12" s="45">
        <v>46091</v>
      </c>
      <c r="G12" s="25"/>
      <c r="H12" s="25">
        <f t="shared" si="6"/>
        <v>4</v>
      </c>
      <c r="I12" s="72"/>
      <c r="J12" s="72"/>
      <c r="K12" s="72"/>
      <c r="L12" s="72"/>
      <c r="M12" s="72"/>
      <c r="N12" s="72"/>
      <c r="O12" s="72"/>
      <c r="P12" s="72"/>
      <c r="Q12" s="72"/>
      <c r="R12" s="72"/>
      <c r="S12" s="72"/>
      <c r="T12" s="72"/>
      <c r="U12" s="72"/>
      <c r="V12" s="72"/>
      <c r="W12" s="72"/>
      <c r="X12" s="72"/>
      <c r="Y12" s="72"/>
      <c r="Z12" s="72"/>
      <c r="AA12" s="72"/>
      <c r="AB12" s="72"/>
      <c r="AC12" s="72"/>
      <c r="AD12" s="72"/>
      <c r="AE12" s="72"/>
      <c r="AF12" s="72"/>
      <c r="AG12" s="72"/>
      <c r="AH12" s="72"/>
      <c r="AI12" s="72"/>
      <c r="AJ12" s="72"/>
      <c r="AK12" s="72"/>
      <c r="AL12" s="72"/>
      <c r="AM12" s="72"/>
      <c r="AN12" s="72"/>
      <c r="AO12" s="72"/>
      <c r="AP12" s="72"/>
      <c r="AQ12" s="72"/>
      <c r="AR12" s="72"/>
      <c r="AS12" s="72"/>
      <c r="AT12" s="72"/>
      <c r="AU12" s="72"/>
      <c r="AV12" s="72"/>
      <c r="AW12" s="72"/>
      <c r="AX12" s="72"/>
      <c r="AY12" s="72"/>
      <c r="AZ12" s="72"/>
      <c r="BA12" s="72"/>
      <c r="BB12" s="72"/>
      <c r="BC12" s="72"/>
      <c r="BD12" s="72"/>
      <c r="BE12" s="72"/>
      <c r="BF12" s="72"/>
      <c r="BG12" s="72"/>
      <c r="BH12" s="72"/>
      <c r="BI12" s="72"/>
      <c r="BJ12" s="72"/>
      <c r="BK12" s="72"/>
      <c r="BL12" s="72"/>
    </row>
    <row r="13" spans="1:64" s="3" customFormat="1" ht="21.75" thickBot="1" x14ac:dyDescent="0.3">
      <c r="A13" s="19"/>
      <c r="B13" s="41" t="s">
        <v>33</v>
      </c>
      <c r="C13" s="42" t="s">
        <v>32</v>
      </c>
      <c r="D13" s="43">
        <v>1</v>
      </c>
      <c r="E13" s="44">
        <v>46092</v>
      </c>
      <c r="F13" s="45">
        <v>46098</v>
      </c>
      <c r="G13" s="25"/>
      <c r="H13" s="25">
        <f t="shared" si="6"/>
        <v>7</v>
      </c>
      <c r="I13" s="72"/>
      <c r="J13" s="72"/>
      <c r="K13" s="72"/>
      <c r="L13" s="72"/>
      <c r="M13" s="72"/>
      <c r="N13" s="72"/>
      <c r="O13" s="72"/>
      <c r="P13" s="72"/>
      <c r="Q13" s="72"/>
      <c r="R13" s="72"/>
      <c r="S13" s="72"/>
      <c r="T13" s="72"/>
      <c r="U13" s="73"/>
      <c r="V13" s="73"/>
      <c r="W13" s="72"/>
      <c r="X13" s="72"/>
      <c r="Y13" s="72"/>
      <c r="Z13" s="72"/>
      <c r="AA13" s="72"/>
      <c r="AB13" s="72"/>
      <c r="AC13" s="72"/>
      <c r="AD13" s="72"/>
      <c r="AE13" s="72"/>
      <c r="AF13" s="72"/>
      <c r="AG13" s="72"/>
      <c r="AH13" s="72"/>
      <c r="AI13" s="72"/>
      <c r="AJ13" s="72"/>
      <c r="AK13" s="72"/>
      <c r="AL13" s="72"/>
      <c r="AM13" s="72"/>
      <c r="AN13" s="72"/>
      <c r="AO13" s="72"/>
      <c r="AP13" s="72"/>
      <c r="AQ13" s="72"/>
      <c r="AR13" s="72"/>
      <c r="AS13" s="72"/>
      <c r="AT13" s="72"/>
      <c r="AU13" s="72"/>
      <c r="AV13" s="72"/>
      <c r="AW13" s="72"/>
      <c r="AX13" s="72"/>
      <c r="AY13" s="72"/>
      <c r="AZ13" s="72"/>
      <c r="BA13" s="72"/>
      <c r="BB13" s="72"/>
      <c r="BC13" s="72"/>
      <c r="BD13" s="72"/>
      <c r="BE13" s="72"/>
      <c r="BF13" s="72"/>
      <c r="BG13" s="72"/>
      <c r="BH13" s="72"/>
      <c r="BI13" s="72"/>
      <c r="BJ13" s="72"/>
      <c r="BK13" s="72"/>
      <c r="BL13" s="72"/>
    </row>
    <row r="14" spans="1:64" s="3" customFormat="1" ht="21.75" thickBot="1" x14ac:dyDescent="0.3">
      <c r="A14" s="19"/>
      <c r="B14" s="41" t="s">
        <v>34</v>
      </c>
      <c r="C14" s="42" t="s">
        <v>32</v>
      </c>
      <c r="D14" s="43">
        <v>1</v>
      </c>
      <c r="E14" s="44">
        <v>46099</v>
      </c>
      <c r="F14" s="45">
        <v>46103</v>
      </c>
      <c r="G14" s="25"/>
      <c r="H14" s="25">
        <f t="shared" si="6"/>
        <v>5</v>
      </c>
      <c r="I14" s="72"/>
      <c r="J14" s="72"/>
      <c r="K14" s="72"/>
      <c r="L14" s="72"/>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row>
    <row r="15" spans="1:64" s="3" customFormat="1" ht="21.75" thickBot="1" x14ac:dyDescent="0.3">
      <c r="A15" s="19"/>
      <c r="B15" s="46" t="s">
        <v>35</v>
      </c>
      <c r="C15" s="47"/>
      <c r="D15" s="48"/>
      <c r="E15" s="49"/>
      <c r="F15" s="50"/>
      <c r="G15" s="25"/>
      <c r="H15" s="25" t="str">
        <f t="shared" si="6"/>
        <v/>
      </c>
      <c r="I15" s="72"/>
      <c r="J15" s="72"/>
      <c r="K15" s="72"/>
      <c r="L15" s="72"/>
      <c r="M15" s="72"/>
      <c r="N15" s="72"/>
      <c r="O15" s="72"/>
      <c r="P15" s="72"/>
      <c r="Q15" s="72"/>
      <c r="R15" s="72"/>
      <c r="S15" s="72"/>
      <c r="T15" s="72"/>
      <c r="U15" s="72"/>
      <c r="V15" s="72"/>
      <c r="W15" s="72"/>
      <c r="X15" s="72"/>
      <c r="Y15" s="72"/>
      <c r="Z15" s="72"/>
      <c r="AA15" s="72"/>
      <c r="AB15" s="72"/>
      <c r="AC15" s="72"/>
      <c r="AD15" s="72"/>
      <c r="AE15" s="72"/>
      <c r="AF15" s="72"/>
      <c r="AG15" s="72"/>
      <c r="AH15" s="72"/>
      <c r="AI15" s="72"/>
      <c r="AJ15" s="72"/>
      <c r="AK15" s="72"/>
      <c r="AL15" s="72"/>
      <c r="AM15" s="72"/>
      <c r="AN15" s="72"/>
      <c r="AO15" s="72"/>
      <c r="AP15" s="72"/>
      <c r="AQ15" s="72"/>
      <c r="AR15" s="72"/>
      <c r="AS15" s="72"/>
      <c r="AT15" s="72"/>
      <c r="AU15" s="72"/>
      <c r="AV15" s="72"/>
      <c r="AW15" s="72"/>
      <c r="AX15" s="72"/>
      <c r="AY15" s="72"/>
      <c r="AZ15" s="72"/>
      <c r="BA15" s="72"/>
      <c r="BB15" s="72"/>
      <c r="BC15" s="72"/>
      <c r="BD15" s="72"/>
      <c r="BE15" s="72"/>
      <c r="BF15" s="72"/>
      <c r="BG15" s="72"/>
      <c r="BH15" s="72"/>
      <c r="BI15" s="72"/>
      <c r="BJ15" s="72"/>
      <c r="BK15" s="72"/>
      <c r="BL15" s="72"/>
    </row>
    <row r="16" spans="1:64" s="3" customFormat="1" ht="21.75" thickBot="1" x14ac:dyDescent="0.3">
      <c r="A16" s="19"/>
      <c r="B16" s="51" t="s">
        <v>36</v>
      </c>
      <c r="C16" s="52" t="s">
        <v>32</v>
      </c>
      <c r="D16" s="53">
        <v>1</v>
      </c>
      <c r="E16" s="54">
        <v>46104</v>
      </c>
      <c r="F16" s="55">
        <v>46105</v>
      </c>
      <c r="G16" s="25"/>
      <c r="H16" s="25">
        <f t="shared" si="6"/>
        <v>2</v>
      </c>
      <c r="I16" s="72"/>
      <c r="J16" s="72"/>
      <c r="K16" s="72"/>
      <c r="L16" s="72"/>
      <c r="M16" s="72"/>
      <c r="N16" s="72"/>
      <c r="O16" s="72"/>
      <c r="P16" s="72"/>
      <c r="Q16" s="72"/>
      <c r="R16" s="72"/>
      <c r="S16" s="72"/>
      <c r="T16" s="72"/>
      <c r="U16" s="72"/>
      <c r="V16" s="72"/>
      <c r="W16" s="72"/>
      <c r="X16" s="72"/>
      <c r="Y16" s="72"/>
      <c r="Z16" s="72"/>
      <c r="AA16" s="72"/>
      <c r="AB16" s="72"/>
      <c r="AC16" s="72"/>
      <c r="AD16" s="72"/>
      <c r="AE16" s="72"/>
      <c r="AF16" s="72"/>
      <c r="AG16" s="72"/>
      <c r="AH16" s="72"/>
      <c r="AI16" s="72"/>
      <c r="AJ16" s="72"/>
      <c r="AK16" s="72"/>
      <c r="AL16" s="72"/>
      <c r="AM16" s="72"/>
      <c r="AN16" s="72"/>
      <c r="AO16" s="72"/>
      <c r="AP16" s="72"/>
      <c r="AQ16" s="72"/>
      <c r="AR16" s="72"/>
      <c r="AS16" s="72"/>
      <c r="AT16" s="72"/>
      <c r="AU16" s="72"/>
      <c r="AV16" s="72"/>
      <c r="AW16" s="72"/>
      <c r="AX16" s="72"/>
      <c r="AY16" s="72"/>
      <c r="AZ16" s="72"/>
      <c r="BA16" s="72"/>
      <c r="BB16" s="72"/>
      <c r="BC16" s="72"/>
      <c r="BD16" s="72"/>
      <c r="BE16" s="72"/>
      <c r="BF16" s="72"/>
      <c r="BG16" s="72"/>
      <c r="BH16" s="72"/>
      <c r="BI16" s="72"/>
      <c r="BJ16" s="72"/>
      <c r="BK16" s="72"/>
      <c r="BL16" s="72"/>
    </row>
    <row r="17" spans="1:64" s="3" customFormat="1" ht="21.75" thickBot="1" x14ac:dyDescent="0.3">
      <c r="A17" s="19"/>
      <c r="B17" s="51" t="s">
        <v>37</v>
      </c>
      <c r="C17" s="52" t="s">
        <v>32</v>
      </c>
      <c r="D17" s="53">
        <v>1</v>
      </c>
      <c r="E17" s="54">
        <v>46106</v>
      </c>
      <c r="F17" s="55">
        <v>46107</v>
      </c>
      <c r="G17" s="25"/>
      <c r="H17" s="25">
        <f t="shared" si="6"/>
        <v>2</v>
      </c>
      <c r="I17" s="72"/>
      <c r="J17" s="72"/>
      <c r="K17" s="72"/>
      <c r="L17" s="72"/>
      <c r="M17" s="72"/>
      <c r="N17" s="72"/>
      <c r="O17" s="72"/>
      <c r="P17" s="72"/>
      <c r="Q17" s="72"/>
      <c r="R17" s="72"/>
      <c r="S17" s="72"/>
      <c r="T17" s="72"/>
      <c r="U17" s="72"/>
      <c r="V17" s="72"/>
      <c r="W17" s="72"/>
      <c r="X17" s="72"/>
      <c r="Y17" s="72"/>
      <c r="Z17" s="72"/>
      <c r="AA17" s="72"/>
      <c r="AB17" s="72"/>
      <c r="AC17" s="72"/>
      <c r="AD17" s="72"/>
      <c r="AE17" s="72"/>
      <c r="AF17" s="72"/>
      <c r="AG17" s="72"/>
      <c r="AH17" s="72"/>
      <c r="AI17" s="72"/>
      <c r="AJ17" s="72"/>
      <c r="AK17" s="72"/>
      <c r="AL17" s="72"/>
      <c r="AM17" s="72"/>
      <c r="AN17" s="72"/>
      <c r="AO17" s="72"/>
      <c r="AP17" s="72"/>
      <c r="AQ17" s="72"/>
      <c r="AR17" s="72"/>
      <c r="AS17" s="72"/>
      <c r="AT17" s="72"/>
      <c r="AU17" s="72"/>
      <c r="AV17" s="72"/>
      <c r="AW17" s="72"/>
      <c r="AX17" s="72"/>
      <c r="AY17" s="72"/>
      <c r="AZ17" s="72"/>
      <c r="BA17" s="72"/>
      <c r="BB17" s="72"/>
      <c r="BC17" s="72"/>
      <c r="BD17" s="72"/>
      <c r="BE17" s="72"/>
      <c r="BF17" s="72"/>
      <c r="BG17" s="72"/>
      <c r="BH17" s="72"/>
      <c r="BI17" s="72"/>
      <c r="BJ17" s="72"/>
      <c r="BK17" s="72"/>
      <c r="BL17" s="72"/>
    </row>
    <row r="18" spans="1:64" s="3" customFormat="1" ht="21.75" thickBot="1" x14ac:dyDescent="0.3">
      <c r="A18" s="19"/>
      <c r="B18" s="51" t="s">
        <v>38</v>
      </c>
      <c r="C18" s="52" t="s">
        <v>32</v>
      </c>
      <c r="D18" s="53">
        <v>1</v>
      </c>
      <c r="E18" s="54">
        <v>46083</v>
      </c>
      <c r="F18" s="55">
        <v>46108</v>
      </c>
      <c r="G18" s="25"/>
      <c r="H18" s="25">
        <f t="shared" si="6"/>
        <v>26</v>
      </c>
      <c r="I18" s="72"/>
      <c r="J18" s="72"/>
      <c r="K18" s="72"/>
      <c r="L18" s="72"/>
      <c r="M18" s="72"/>
      <c r="N18" s="72"/>
      <c r="O18" s="72"/>
      <c r="P18" s="72"/>
      <c r="Q18" s="72"/>
      <c r="R18" s="72"/>
      <c r="S18" s="72"/>
      <c r="T18" s="72"/>
      <c r="U18" s="72"/>
      <c r="V18" s="72"/>
      <c r="W18" s="72"/>
      <c r="X18" s="72"/>
      <c r="Y18" s="72"/>
      <c r="Z18" s="72"/>
      <c r="AA18" s="72"/>
      <c r="AB18" s="72"/>
      <c r="AC18" s="72"/>
      <c r="AD18" s="72"/>
      <c r="AE18" s="72"/>
      <c r="AF18" s="72"/>
      <c r="AG18" s="72"/>
      <c r="AH18" s="72"/>
      <c r="AI18" s="72"/>
      <c r="AJ18" s="72"/>
      <c r="AK18" s="72"/>
      <c r="AL18" s="72"/>
      <c r="AM18" s="72"/>
      <c r="AN18" s="72"/>
      <c r="AO18" s="72"/>
      <c r="AP18" s="72"/>
      <c r="AQ18" s="72"/>
      <c r="AR18" s="72"/>
      <c r="AS18" s="72"/>
      <c r="AT18" s="72"/>
      <c r="AU18" s="72"/>
      <c r="AV18" s="72"/>
      <c r="AW18" s="72"/>
      <c r="AX18" s="72"/>
      <c r="AY18" s="72"/>
      <c r="AZ18" s="72"/>
      <c r="BA18" s="72"/>
      <c r="BB18" s="72"/>
      <c r="BC18" s="72"/>
      <c r="BD18" s="72"/>
      <c r="BE18" s="72"/>
      <c r="BF18" s="72"/>
      <c r="BG18" s="72"/>
      <c r="BH18" s="72"/>
      <c r="BI18" s="72"/>
      <c r="BJ18" s="72"/>
      <c r="BK18" s="72"/>
      <c r="BL18" s="72"/>
    </row>
    <row r="19" spans="1:64" s="3" customFormat="1" ht="21.75" thickBot="1" x14ac:dyDescent="0.3">
      <c r="A19" s="19"/>
      <c r="B19" s="56" t="s">
        <v>39</v>
      </c>
      <c r="C19" s="57"/>
      <c r="D19" s="58"/>
      <c r="E19" s="59"/>
      <c r="F19" s="60"/>
      <c r="G19" s="25"/>
      <c r="H19" s="25" t="str">
        <f t="shared" si="6"/>
        <v/>
      </c>
      <c r="I19" s="72"/>
      <c r="J19" s="72"/>
      <c r="K19" s="72"/>
      <c r="L19" s="72"/>
      <c r="M19" s="72"/>
      <c r="N19" s="72"/>
      <c r="O19" s="72"/>
      <c r="P19" s="72"/>
      <c r="Q19" s="72"/>
      <c r="R19" s="72"/>
      <c r="S19" s="72"/>
      <c r="T19" s="72"/>
      <c r="U19" s="72"/>
      <c r="V19" s="72"/>
      <c r="W19" s="72"/>
      <c r="X19" s="72"/>
      <c r="Y19" s="72"/>
      <c r="Z19" s="72"/>
      <c r="AA19" s="72"/>
      <c r="AB19" s="72"/>
      <c r="AC19" s="72"/>
      <c r="AD19" s="72"/>
      <c r="AE19" s="72"/>
      <c r="AF19" s="72"/>
      <c r="AG19" s="72"/>
      <c r="AH19" s="72"/>
      <c r="AI19" s="72"/>
      <c r="AJ19" s="72"/>
      <c r="AK19" s="72"/>
      <c r="AL19" s="72"/>
      <c r="AM19" s="72"/>
      <c r="AN19" s="72"/>
      <c r="AO19" s="72"/>
      <c r="AP19" s="72"/>
      <c r="AQ19" s="72"/>
      <c r="AR19" s="72"/>
      <c r="AS19" s="72"/>
      <c r="AT19" s="72"/>
      <c r="AU19" s="72"/>
      <c r="AV19" s="72"/>
      <c r="AW19" s="72"/>
      <c r="AX19" s="72"/>
      <c r="AY19" s="72"/>
      <c r="AZ19" s="72"/>
      <c r="BA19" s="72"/>
      <c r="BB19" s="72"/>
      <c r="BC19" s="72"/>
      <c r="BD19" s="72"/>
      <c r="BE19" s="72"/>
      <c r="BF19" s="72"/>
      <c r="BG19" s="72"/>
      <c r="BH19" s="72"/>
      <c r="BI19" s="72"/>
      <c r="BJ19" s="72"/>
      <c r="BK19" s="72"/>
      <c r="BL19" s="72"/>
    </row>
    <row r="20" spans="1:64" s="3" customFormat="1" ht="21.75" thickBot="1" x14ac:dyDescent="0.3">
      <c r="A20" s="19"/>
      <c r="B20" s="61" t="s">
        <v>40</v>
      </c>
      <c r="C20" s="62" t="s">
        <v>32</v>
      </c>
      <c r="D20" s="63">
        <v>0</v>
      </c>
      <c r="E20" s="64">
        <v>46105</v>
      </c>
      <c r="F20" s="65">
        <v>46110</v>
      </c>
      <c r="G20" s="25"/>
      <c r="H20" s="25">
        <f t="shared" si="6"/>
        <v>6</v>
      </c>
      <c r="I20" s="72"/>
      <c r="J20" s="72"/>
      <c r="K20" s="72"/>
      <c r="L20" s="72"/>
      <c r="M20" s="72"/>
      <c r="N20" s="72"/>
      <c r="O20" s="72"/>
      <c r="P20" s="72"/>
      <c r="Q20" s="72"/>
      <c r="R20" s="72"/>
      <c r="S20" s="72"/>
      <c r="T20" s="72"/>
      <c r="U20" s="72"/>
      <c r="V20" s="72"/>
      <c r="W20" s="72"/>
      <c r="X20" s="72"/>
      <c r="Y20" s="72"/>
      <c r="Z20" s="72"/>
      <c r="AA20" s="72"/>
      <c r="AB20" s="72"/>
      <c r="AC20" s="72"/>
      <c r="AD20" s="72"/>
      <c r="AE20" s="72"/>
      <c r="AF20" s="72"/>
      <c r="AG20" s="72"/>
      <c r="AH20" s="72"/>
      <c r="AI20" s="72"/>
      <c r="AJ20" s="72"/>
      <c r="AK20" s="72"/>
      <c r="AL20" s="72"/>
      <c r="AM20" s="72"/>
      <c r="AN20" s="72"/>
      <c r="AO20" s="72"/>
      <c r="AP20" s="72"/>
      <c r="AQ20" s="72"/>
      <c r="AR20" s="72"/>
      <c r="AS20" s="72"/>
      <c r="AT20" s="72"/>
      <c r="AU20" s="72"/>
      <c r="AV20" s="72"/>
      <c r="AW20" s="72"/>
      <c r="AX20" s="72"/>
      <c r="AY20" s="72"/>
      <c r="AZ20" s="72"/>
      <c r="BA20" s="72"/>
      <c r="BB20" s="72"/>
      <c r="BC20" s="72"/>
      <c r="BD20" s="72"/>
      <c r="BE20" s="72"/>
      <c r="BF20" s="72"/>
      <c r="BG20" s="72"/>
      <c r="BH20" s="72"/>
      <c r="BI20" s="72"/>
      <c r="BJ20" s="72"/>
      <c r="BK20" s="72"/>
      <c r="BL20" s="72"/>
    </row>
    <row r="21" spans="1:64" s="3" customFormat="1" ht="21.75" thickBot="1" x14ac:dyDescent="0.3">
      <c r="A21" s="19"/>
      <c r="B21" s="61" t="s">
        <v>41</v>
      </c>
      <c r="C21" s="62" t="s">
        <v>32</v>
      </c>
      <c r="D21" s="63">
        <v>1</v>
      </c>
      <c r="E21" s="64">
        <v>46111</v>
      </c>
      <c r="F21" s="65">
        <v>46112</v>
      </c>
      <c r="G21" s="25"/>
      <c r="H21" s="25">
        <f t="shared" si="6"/>
        <v>2</v>
      </c>
      <c r="I21" s="72"/>
      <c r="J21" s="72"/>
      <c r="K21" s="72"/>
      <c r="L21" s="72"/>
      <c r="M21" s="72"/>
      <c r="N21" s="72"/>
      <c r="O21" s="72"/>
      <c r="P21" s="72"/>
      <c r="Q21" s="72"/>
      <c r="R21" s="72"/>
      <c r="S21" s="72"/>
      <c r="T21" s="72"/>
      <c r="U21" s="72"/>
      <c r="V21" s="72"/>
      <c r="W21" s="72"/>
      <c r="X21" s="72"/>
      <c r="Y21" s="72"/>
      <c r="Z21" s="72"/>
      <c r="AA21" s="72"/>
      <c r="AB21" s="72"/>
      <c r="AC21" s="72"/>
      <c r="AD21" s="72"/>
      <c r="AE21" s="72"/>
      <c r="AF21" s="72"/>
      <c r="AG21" s="72"/>
      <c r="AH21" s="72"/>
      <c r="AI21" s="72"/>
      <c r="AJ21" s="72"/>
      <c r="AK21" s="72"/>
      <c r="AL21" s="72"/>
      <c r="AM21" s="72"/>
      <c r="AN21" s="72"/>
      <c r="AO21" s="72"/>
      <c r="AP21" s="72"/>
      <c r="AQ21" s="72"/>
      <c r="AR21" s="72"/>
      <c r="AS21" s="72"/>
      <c r="AT21" s="72"/>
      <c r="AU21" s="72"/>
      <c r="AV21" s="72"/>
      <c r="AW21" s="72"/>
      <c r="AX21" s="72"/>
      <c r="AY21" s="72"/>
      <c r="AZ21" s="72"/>
      <c r="BA21" s="72"/>
      <c r="BB21" s="72"/>
      <c r="BC21" s="72"/>
      <c r="BD21" s="72"/>
      <c r="BE21" s="72"/>
      <c r="BF21" s="72"/>
      <c r="BG21" s="72"/>
      <c r="BH21" s="72"/>
      <c r="BI21" s="72"/>
      <c r="BJ21" s="72"/>
      <c r="BK21" s="72"/>
      <c r="BL21" s="72"/>
    </row>
    <row r="22" spans="1:64" s="3" customFormat="1" ht="21.75" thickBot="1" x14ac:dyDescent="0.3">
      <c r="A22" s="19"/>
      <c r="B22" s="20"/>
      <c r="C22" s="21"/>
      <c r="D22" s="22"/>
      <c r="E22" s="23"/>
      <c r="F22" s="24"/>
      <c r="G22" s="25"/>
      <c r="H22" s="25" t="str">
        <f t="shared" si="6"/>
        <v/>
      </c>
      <c r="I22" s="72"/>
      <c r="J22" s="72"/>
      <c r="K22" s="72"/>
      <c r="L22" s="72"/>
      <c r="M22" s="72"/>
      <c r="N22" s="72"/>
      <c r="O22" s="72"/>
      <c r="P22" s="72"/>
      <c r="Q22" s="72"/>
      <c r="R22" s="72"/>
      <c r="S22" s="72"/>
      <c r="T22" s="72"/>
      <c r="U22" s="72"/>
      <c r="V22" s="72"/>
      <c r="W22" s="72"/>
      <c r="X22" s="72"/>
      <c r="Y22" s="72"/>
      <c r="Z22" s="72"/>
      <c r="AA22" s="72"/>
      <c r="AB22" s="72"/>
      <c r="AC22" s="72"/>
      <c r="AD22" s="72"/>
      <c r="AE22" s="72"/>
      <c r="AF22" s="72"/>
      <c r="AG22" s="72"/>
      <c r="AH22" s="72"/>
      <c r="AI22" s="72"/>
      <c r="AJ22" s="72"/>
      <c r="AK22" s="72"/>
      <c r="AL22" s="72"/>
      <c r="AM22" s="72"/>
      <c r="AN22" s="72"/>
      <c r="AO22" s="72"/>
      <c r="AP22" s="72"/>
      <c r="AQ22" s="72"/>
      <c r="AR22" s="72"/>
      <c r="AS22" s="72"/>
      <c r="AT22" s="72"/>
      <c r="AU22" s="72"/>
      <c r="AV22" s="72"/>
      <c r="AW22" s="72"/>
      <c r="AX22" s="72"/>
      <c r="AY22" s="72"/>
      <c r="AZ22" s="72"/>
      <c r="BA22" s="72"/>
      <c r="BB22" s="72"/>
      <c r="BC22" s="72"/>
      <c r="BD22" s="72"/>
      <c r="BE22" s="72"/>
      <c r="BF22" s="72"/>
      <c r="BG22" s="72"/>
      <c r="BH22" s="72"/>
      <c r="BI22" s="72"/>
      <c r="BJ22" s="72"/>
      <c r="BK22" s="72"/>
      <c r="BL22" s="72"/>
    </row>
    <row r="23" spans="1:64" s="3" customFormat="1" ht="21.75" thickBot="1" x14ac:dyDescent="0.3">
      <c r="A23" s="19"/>
      <c r="B23" s="20"/>
      <c r="C23" s="21"/>
      <c r="D23" s="22"/>
      <c r="E23" s="23"/>
      <c r="F23" s="24"/>
      <c r="G23" s="25"/>
      <c r="H23" s="25" t="str">
        <f t="shared" si="6"/>
        <v/>
      </c>
      <c r="I23" s="72"/>
      <c r="J23" s="72"/>
      <c r="K23" s="72"/>
      <c r="L23" s="72"/>
      <c r="M23" s="72"/>
      <c r="N23" s="72"/>
      <c r="O23" s="72"/>
      <c r="P23" s="72"/>
      <c r="Q23" s="72"/>
      <c r="R23" s="72"/>
      <c r="S23" s="72"/>
      <c r="T23" s="72"/>
      <c r="U23" s="72"/>
      <c r="V23" s="72"/>
      <c r="W23" s="72"/>
      <c r="X23" s="72"/>
      <c r="Y23" s="72"/>
      <c r="Z23" s="72"/>
      <c r="AA23" s="72"/>
      <c r="AB23" s="72"/>
      <c r="AC23" s="72"/>
      <c r="AD23" s="72"/>
      <c r="AE23" s="72"/>
      <c r="AF23" s="72"/>
      <c r="AG23" s="72"/>
      <c r="AH23" s="72"/>
      <c r="AI23" s="72"/>
      <c r="AJ23" s="72"/>
      <c r="AK23" s="72"/>
      <c r="AL23" s="72"/>
      <c r="AM23" s="72"/>
      <c r="AN23" s="72"/>
      <c r="AO23" s="72"/>
      <c r="AP23" s="72"/>
      <c r="AQ23" s="72"/>
      <c r="AR23" s="72"/>
      <c r="AS23" s="72"/>
      <c r="AT23" s="72"/>
      <c r="AU23" s="72"/>
      <c r="AV23" s="72"/>
      <c r="AW23" s="72"/>
      <c r="AX23" s="72"/>
      <c r="AY23" s="72"/>
      <c r="AZ23" s="72"/>
      <c r="BA23" s="72"/>
      <c r="BB23" s="72"/>
      <c r="BC23" s="72"/>
      <c r="BD23" s="72"/>
      <c r="BE23" s="72"/>
      <c r="BF23" s="72"/>
      <c r="BG23" s="72"/>
      <c r="BH23" s="72"/>
      <c r="BI23" s="72"/>
      <c r="BJ23" s="72"/>
      <c r="BK23" s="72"/>
      <c r="BL23" s="72"/>
    </row>
    <row r="24" spans="1:64" s="3" customFormat="1" ht="21.75" thickBot="1" x14ac:dyDescent="0.3">
      <c r="A24" s="19"/>
      <c r="B24" s="20"/>
      <c r="C24" s="21"/>
      <c r="D24" s="22"/>
      <c r="E24" s="23"/>
      <c r="F24" s="24"/>
      <c r="G24" s="25"/>
      <c r="H24" s="25" t="str">
        <f t="shared" si="6"/>
        <v/>
      </c>
      <c r="I24" s="72"/>
      <c r="J24" s="72"/>
      <c r="K24" s="72"/>
      <c r="L24" s="72"/>
      <c r="M24" s="72"/>
      <c r="N24" s="72"/>
      <c r="O24" s="72"/>
      <c r="P24" s="72"/>
      <c r="Q24" s="72"/>
      <c r="R24" s="72"/>
      <c r="S24" s="72"/>
      <c r="T24" s="72"/>
      <c r="U24" s="72"/>
      <c r="V24" s="72"/>
      <c r="W24" s="72"/>
      <c r="X24" s="72"/>
      <c r="Y24" s="72"/>
      <c r="Z24" s="72"/>
      <c r="AA24" s="72"/>
      <c r="AB24" s="72"/>
      <c r="AC24" s="72"/>
      <c r="AD24" s="72"/>
      <c r="AE24" s="72"/>
      <c r="AF24" s="72"/>
      <c r="AG24" s="72"/>
      <c r="AH24" s="72"/>
      <c r="AI24" s="72"/>
      <c r="AJ24" s="72"/>
      <c r="AK24" s="72"/>
      <c r="AL24" s="72"/>
      <c r="AM24" s="72"/>
      <c r="AN24" s="72"/>
      <c r="AO24" s="72"/>
      <c r="AP24" s="72"/>
      <c r="AQ24" s="72"/>
      <c r="AR24" s="72"/>
      <c r="AS24" s="72"/>
      <c r="AT24" s="72"/>
      <c r="AU24" s="72"/>
      <c r="AV24" s="72"/>
      <c r="AW24" s="72"/>
      <c r="AX24" s="72"/>
      <c r="AY24" s="72"/>
      <c r="AZ24" s="72"/>
      <c r="BA24" s="72"/>
      <c r="BB24" s="72"/>
      <c r="BC24" s="72"/>
      <c r="BD24" s="72"/>
      <c r="BE24" s="72"/>
      <c r="BF24" s="72"/>
      <c r="BG24" s="72"/>
      <c r="BH24" s="72"/>
      <c r="BI24" s="72"/>
      <c r="BJ24" s="72"/>
      <c r="BK24" s="72"/>
      <c r="BL24" s="72"/>
    </row>
    <row r="25" spans="1:64" s="3" customFormat="1" ht="21.75" thickBot="1" x14ac:dyDescent="0.3">
      <c r="A25" s="19"/>
      <c r="B25" s="66" t="s">
        <v>0</v>
      </c>
      <c r="C25" s="67"/>
      <c r="D25" s="68"/>
      <c r="E25" s="69"/>
      <c r="F25" s="70"/>
      <c r="G25" s="71"/>
      <c r="H25" s="71" t="str">
        <f t="shared" si="6"/>
        <v/>
      </c>
      <c r="I25" s="74"/>
      <c r="J25" s="74"/>
      <c r="K25" s="74"/>
      <c r="L25" s="74"/>
      <c r="M25" s="74"/>
      <c r="N25" s="74"/>
      <c r="O25" s="74"/>
      <c r="P25" s="74"/>
      <c r="Q25" s="74"/>
      <c r="R25" s="74"/>
      <c r="S25" s="74"/>
      <c r="T25" s="74"/>
      <c r="U25" s="74"/>
      <c r="V25" s="74"/>
      <c r="W25" s="74"/>
      <c r="X25" s="74"/>
      <c r="Y25" s="74"/>
      <c r="Z25" s="74"/>
      <c r="AA25" s="74"/>
      <c r="AB25" s="74"/>
      <c r="AC25" s="74"/>
      <c r="AD25" s="74"/>
      <c r="AE25" s="74"/>
      <c r="AF25" s="74"/>
      <c r="AG25" s="74"/>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row>
    <row r="26" spans="1:64" x14ac:dyDescent="0.25">
      <c r="A26" s="6"/>
      <c r="G26" s="6"/>
    </row>
    <row r="27" spans="1:64" x14ac:dyDescent="0.25">
      <c r="B27" s="17" t="s">
        <v>12</v>
      </c>
      <c r="C27" s="17"/>
      <c r="F27" s="85">
        <v>43113</v>
      </c>
    </row>
    <row r="28" spans="1:64" x14ac:dyDescent="0.25">
      <c r="B28" s="89" t="s">
        <v>17</v>
      </c>
      <c r="C28" s="18"/>
    </row>
    <row r="29" spans="1:64" x14ac:dyDescent="0.25">
      <c r="B29" s="88" t="s">
        <v>23</v>
      </c>
    </row>
  </sheetData>
  <mergeCells count="11">
    <mergeCell ref="J1:AA1"/>
    <mergeCell ref="AK4:AQ4"/>
    <mergeCell ref="AR4:AX4"/>
    <mergeCell ref="AY4:BE4"/>
    <mergeCell ref="BF4:BL4"/>
    <mergeCell ref="E2:F2"/>
    <mergeCell ref="I4:O4"/>
    <mergeCell ref="P4:V4"/>
    <mergeCell ref="W4:AC4"/>
    <mergeCell ref="AD4:AJ4"/>
    <mergeCell ref="E3:F3"/>
  </mergeCells>
  <conditionalFormatting sqref="D7:D25">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25">
    <cfRule type="expression" dxfId="2" priority="27">
      <formula>AND(today&gt;=I$5,today&lt;I$5+1)</formula>
    </cfRule>
  </conditionalFormatting>
  <conditionalFormatting sqref="I7:BL25">
    <cfRule type="expression" dxfId="1" priority="25">
      <formula>AND(task_start&lt;=I$5,ROUNDDOWN((task_end-task_start+1)*task_progress,0)+task_start-1&gt;=I$5)</formula>
    </cfRule>
    <cfRule type="expression" dxfId="0" priority="26" stopIfTrue="1">
      <formula>AND(task_end&gt;=I$5,task_start&lt;I$5+1)</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B28" r:id="rId1" xr:uid="{00000000-0004-0000-0000-000000000000}"/>
    <hyperlink ref="B27"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D7:D25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defaultRowHeight="12.75" x14ac:dyDescent="0.2"/>
  <cols>
    <col min="1" max="1" width="2.85546875" style="2" customWidth="1"/>
    <col min="2" max="2" width="87.140625" style="75" customWidth="1"/>
    <col min="3" max="16384" width="9.140625" style="2"/>
  </cols>
  <sheetData>
    <row r="1" spans="2:3" ht="46.5" customHeight="1" x14ac:dyDescent="0.2"/>
    <row r="2" spans="2:3" s="77" customFormat="1" ht="15.75" x14ac:dyDescent="0.25">
      <c r="B2" s="76" t="s">
        <v>12</v>
      </c>
      <c r="C2" s="76"/>
    </row>
    <row r="3" spans="2:3" s="79" customFormat="1" ht="13.5" customHeight="1" x14ac:dyDescent="0.25">
      <c r="B3" s="78" t="s">
        <v>17</v>
      </c>
      <c r="C3" s="78"/>
    </row>
    <row r="4" spans="2:3" x14ac:dyDescent="0.2">
      <c r="B4" s="87" t="s">
        <v>23</v>
      </c>
    </row>
    <row r="6" spans="2:3" s="80" customFormat="1" ht="26.25" x14ac:dyDescent="0.4">
      <c r="B6" s="82" t="s">
        <v>11</v>
      </c>
    </row>
    <row r="7" spans="2:3" ht="60" x14ac:dyDescent="0.2">
      <c r="B7" s="83" t="s">
        <v>20</v>
      </c>
    </row>
    <row r="8" spans="2:3" ht="15" x14ac:dyDescent="0.2">
      <c r="B8" s="81"/>
    </row>
    <row r="9" spans="2:3" s="80" customFormat="1" ht="26.25" x14ac:dyDescent="0.4">
      <c r="B9" s="82" t="s">
        <v>13</v>
      </c>
    </row>
    <row r="10" spans="2:3" ht="60" x14ac:dyDescent="0.2">
      <c r="B10" s="83" t="s">
        <v>21</v>
      </c>
    </row>
    <row r="11" spans="2:3" ht="14.25" x14ac:dyDescent="0.2">
      <c r="B11" s="84" t="s">
        <v>19</v>
      </c>
    </row>
    <row r="12" spans="2:3" ht="15" x14ac:dyDescent="0.2">
      <c r="B12" s="81"/>
    </row>
    <row r="13" spans="2:3" ht="14.25" x14ac:dyDescent="0.2">
      <c r="B13" s="90" t="str">
        <f>HYPERLINK("https://vertex42.link/HowToMakeAGanttChart","► Watch How This Gantt Chart Was Created")</f>
        <v>► Watch How This Gantt Chart Was Created</v>
      </c>
    </row>
    <row r="14" spans="2:3" ht="15" x14ac:dyDescent="0.2">
      <c r="B14" s="81"/>
    </row>
    <row r="15" spans="2:3" s="80" customFormat="1" ht="26.25" x14ac:dyDescent="0.4">
      <c r="B15" s="82" t="s">
        <v>10</v>
      </c>
    </row>
    <row r="16" spans="2:3" ht="30" x14ac:dyDescent="0.2">
      <c r="B16" s="83" t="s">
        <v>18</v>
      </c>
    </row>
    <row r="17" spans="2:2" ht="14.25" x14ac:dyDescent="0.2">
      <c r="B17" s="84" t="s">
        <v>4</v>
      </c>
    </row>
    <row r="18" spans="2:2" ht="15" x14ac:dyDescent="0.2">
      <c r="B18" s="81"/>
    </row>
    <row r="19" spans="2:2" s="80" customFormat="1" ht="26.25" x14ac:dyDescent="0.4">
      <c r="B19" s="82" t="s">
        <v>14</v>
      </c>
    </row>
    <row r="20" spans="2:2" ht="60" x14ac:dyDescent="0.2">
      <c r="B20" s="83" t="s">
        <v>15</v>
      </c>
    </row>
    <row r="21" spans="2:2" ht="15" x14ac:dyDescent="0.2">
      <c r="B21" s="81"/>
    </row>
    <row r="22" spans="2:2" ht="75" x14ac:dyDescent="0.2">
      <c r="B22" s="83" t="s">
        <v>16</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96DD1FC206C7E4C8297AEA9970FAC90" ma:contentTypeVersion="10" ma:contentTypeDescription="Create a new document." ma:contentTypeScope="" ma:versionID="a3d578b45ec0d123bf1ac5dc22b6dcac">
  <xsd:schema xmlns:xsd="http://www.w3.org/2001/XMLSchema" xmlns:xs="http://www.w3.org/2001/XMLSchema" xmlns:p="http://schemas.microsoft.com/office/2006/metadata/properties" xmlns:ns3="d94ee4e4-02cb-4da0-9dbe-ce518434d583" targetNamespace="http://schemas.microsoft.com/office/2006/metadata/properties" ma:root="true" ma:fieldsID="6b0ff69a5ba70d311594fadef540f153" ns3:_="">
    <xsd:import namespace="d94ee4e4-02cb-4da0-9dbe-ce518434d583"/>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Location" minOccurs="0"/>
                <xsd:element ref="ns3:MediaServiceGenerationTime" minOccurs="0"/>
                <xsd:element ref="ns3:MediaServiceEventHashCode" minOccurs="0"/>
                <xsd:element ref="ns3:MediaLengthInSecond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94ee4e4-02cb-4da0-9dbe-ce518434d58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Location" ma:index="13" nillable="true" ma:displayName="Location" ma:indexed="true"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_activity" ma:index="17"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94ee4e4-02cb-4da0-9dbe-ce518434d58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347810-5C5F-47C9-A302-88561856E1C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94ee4e4-02cb-4da0-9dbe-ce518434d5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958DCE0-E889-44D7-9626-4E68D770186B}">
  <ds:schemaRefs>
    <ds:schemaRef ds:uri="http://purl.org/dc/elements/1.1/"/>
    <ds:schemaRef ds:uri="http://purl.org/dc/dcmitype/"/>
    <ds:schemaRef ds:uri="http://schemas.microsoft.com/office/infopath/2007/PartnerControls"/>
    <ds:schemaRef ds:uri="http://schemas.openxmlformats.org/package/2006/metadata/core-properties"/>
    <ds:schemaRef ds:uri="http://www.w3.org/XML/1998/namespace"/>
    <ds:schemaRef ds:uri="http://schemas.microsoft.com/office/2006/documentManagement/types"/>
    <ds:schemaRef ds:uri="http://purl.org/dc/terms/"/>
    <ds:schemaRef ds:uri="http://schemas.microsoft.com/office/2006/metadata/properties"/>
    <ds:schemaRef ds:uri="d94ee4e4-02cb-4da0-9dbe-ce518434d583"/>
  </ds:schemaRefs>
</ds:datastoreItem>
</file>

<file path=customXml/itemProps3.xml><?xml version="1.0" encoding="utf-8"?>
<ds:datastoreItem xmlns:ds="http://schemas.openxmlformats.org/officeDocument/2006/customXml" ds:itemID="{C5693F80-368E-4C37-8025-3F2AC99C71E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ProjectSchedule</vt:lpstr>
      <vt:lpstr>About</vt:lpstr>
      <vt:lpstr>ProjectSchedule!Print_Area</vt:lpstr>
      <vt:lpstr>ProjectSchedule!Print_Titles</vt:lpstr>
      <vt:lpstr>ProjectSchedule!task_end</vt:lpstr>
      <vt:lpstr>ProjectSchedule!task_progress</vt:lpstr>
      <vt:lpstr>ProjectSchedule!task_start</vt:lpstr>
      <vt:lpstr>ProjectSchedule!today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Arturo Garcia</cp:lastModifiedBy>
  <cp:lastPrinted>2019-04-24T14:39:40Z</cp:lastPrinted>
  <dcterms:created xsi:type="dcterms:W3CDTF">2017-01-09T18:01:51Z</dcterms:created>
  <dcterms:modified xsi:type="dcterms:W3CDTF">2026-03-31T20:27:23Z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y fmtid="{D5CDD505-2E9C-101B-9397-08002B2CF9AE}" pid="5" name="ContentTypeId">
    <vt:lpwstr>0x010100496DD1FC206C7E4C8297AEA9970FAC90</vt:lpwstr>
  </property>
</Properties>
</file>